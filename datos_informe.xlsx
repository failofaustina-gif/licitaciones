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Rollover" sheetId="2" state="visible" r:id="rId4"/>
    <sheet name="Tasas" sheetId="3" state="visible" r:id="rId5"/>
    <sheet name="Coyuntura" sheetId="4" state="visible" r:id="rId6"/>
    <sheet name="Composicion" sheetId="5" state="visible" r:id="rId7"/>
    <sheet name="Timeline" sheetId="6" state="visible" r:id="rId8"/>
    <sheet name="Monetizacion" sheetId="7" state="visible" r:id="rId9"/>
    <sheet name="Fuent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<sst xmlns="http://schemas.openxmlformats.org/spreadsheetml/2006/main" count="121" uniqueCount="101">
  <si>
    <t xml:space="preserve">Título</t>
  </si>
  <si>
    <t xml:space="preserve">Licitación del Tesoro: cubrió lo que vencía, pero pagó más caro</t>
  </si>
  <si>
    <t xml:space="preserve">Subtítulo</t>
  </si>
  <si>
    <t xml:space="preserve">Licitación del 28 de julio de 2026 — comparada contra la anterior, del 14 de julio.</t>
  </si>
  <si>
    <t xml:space="preserve">Eyebrow</t>
  </si>
  <si>
    <t xml:space="preserve">Secretaría de Finanzas · Resultado de licitación</t>
  </si>
  <si>
    <t xml:space="preserve">Veredicto 1 - título</t>
  </si>
  <si>
    <t xml:space="preserve">Sí, renovó todo</t>
  </si>
  <si>
    <t xml:space="preserve">Veredicto 1 - texto (usar {venc},{adj},{pct},{extra} como placeholders)</t>
  </si>
  <si>
    <t xml:space="preserve">El Tesoro debía pagar/renovar ${venc} billones. Consiguió ${adj} billones — un {pct}% de lo que vencía. No solo cubrió sus deudas, sacó de circulación otros ${extra} billones extra.</t>
  </si>
  <si>
    <t xml:space="preserve">Veredicto 2 - título</t>
  </si>
  <si>
    <t xml:space="preserve">Pero pagó más caro</t>
  </si>
  <si>
    <t xml:space="preserve">Veredicto 2 - texto</t>
  </si>
  <si>
    <t xml:space="preserve">Para lograrlo, tuvo que ofrecer tasas más altas que la vez anterior en la mayoría de los instrumentos, tanto en pesos como en dólares. Sólo mejoró en un instrumento chico ligado al dólar.</t>
  </si>
  <si>
    <t xml:space="preserve">Concepto</t>
  </si>
  <si>
    <t xml:space="preserve">Valor</t>
  </si>
  <si>
    <t xml:space="preserve">Vencimientos del día ($ Bn)</t>
  </si>
  <si>
    <t xml:space="preserve">Total adjudicado ($ Bn)</t>
  </si>
  <si>
    <t xml:space="preserve">Rollover (%)</t>
  </si>
  <si>
    <t xml:space="preserve">Excedente absorbido ($ Bn)</t>
  </si>
  <si>
    <t xml:space="preserve">Instrumento</t>
  </si>
  <si>
    <t xml:space="preserve">Tasa actual (%)</t>
  </si>
  <si>
    <t xml:space="preserve">Tasa anterior (%)</t>
  </si>
  <si>
    <t xml:space="preserve">Dirección (subio/bajo)</t>
  </si>
  <si>
    <t xml:space="preserve">Letra en pesos, plazo corto (venc. octubre)</t>
  </si>
  <si>
    <t xml:space="preserve">subio</t>
  </si>
  <si>
    <t xml:space="preserve">Bono atado al dólar, plazo corto</t>
  </si>
  <si>
    <t xml:space="preserve">bajo</t>
  </si>
  <si>
    <t xml:space="preserve">Bono atado al dólar, plazo más largo</t>
  </si>
  <si>
    <t xml:space="preserve">Bono en dólares (BONAR 2029)</t>
  </si>
  <si>
    <t xml:space="preserve">Plazo (texto)</t>
  </si>
  <si>
    <t xml:space="preserve">Tasa (texto)</t>
  </si>
  <si>
    <t xml:space="preserve">Lectura</t>
  </si>
  <si>
    <t xml:space="preserve">Tipo (warn/good/flat)</t>
  </si>
  <si>
    <t xml:space="preserve">Pesos, tasa fija corta</t>
  </si>
  <si>
    <t xml:space="preserve">▼ plazo más corto</t>
  </si>
  <si>
    <t xml:space="preserve">▲ tasa más alta</t>
  </si>
  <si>
    <t xml:space="preserve">mercado más cauteloso en pesos</t>
  </si>
  <si>
    <t xml:space="preserve">warn</t>
  </si>
  <si>
    <t xml:space="preserve">Dólar linked corto</t>
  </si>
  <si>
    <t xml:space="preserve">▲ plazo más largo</t>
  </si>
  <si>
    <t xml:space="preserve">▼ tasa más baja</t>
  </si>
  <si>
    <t xml:space="preserve">menos miedo a una devaluación cercana</t>
  </si>
  <si>
    <t xml:space="preserve">good</t>
  </si>
  <si>
    <t xml:space="preserve">Dólar linked largo</t>
  </si>
  <si>
    <t xml:space="preserve">▲ tasa mucho más alta</t>
  </si>
  <si>
    <t xml:space="preserve">nadie quiere cobertura cambiaria a largo</t>
  </si>
  <si>
    <t xml:space="preserve">Bonar 2029 (USD)</t>
  </si>
  <si>
    <t xml:space="preserve">— mismo plazo</t>
  </si>
  <si>
    <t xml:space="preserve">— tasa casi igual</t>
  </si>
  <si>
    <t xml:space="preserve">reapertura: mismo vto. y tasa, duplicó el monto en circulación</t>
  </si>
  <si>
    <t xml:space="preserve">flat</t>
  </si>
  <si>
    <t xml:space="preserve">Categoría</t>
  </si>
  <si>
    <t xml:space="preserve">Monto ($mm equiv.)</t>
  </si>
  <si>
    <t xml:space="preserve">% del total</t>
  </si>
  <si>
    <t xml:space="preserve">Color (hex)</t>
  </si>
  <si>
    <t xml:space="preserve">Pesos, tasa fija</t>
  </si>
  <si>
    <t xml:space="preserve">0B2547</t>
  </si>
  <si>
    <t xml:space="preserve">Dual TAMAR / dólar linked</t>
  </si>
  <si>
    <t xml:space="preserve">5B8FD9</t>
  </si>
  <si>
    <t xml:space="preserve">Dólar linked puro</t>
  </si>
  <si>
    <t xml:space="preserve">1E8A5F</t>
  </si>
  <si>
    <t xml:space="preserve">Dual CER / TAMAR</t>
  </si>
  <si>
    <t xml:space="preserve">C2571B</t>
  </si>
  <si>
    <t xml:space="preserve">Dólares (BONAR 2029, equiv. $)</t>
  </si>
  <si>
    <t xml:space="preserve">B4B2A9</t>
  </si>
  <si>
    <t xml:space="preserve">TOTAL</t>
  </si>
  <si>
    <t xml:space="preserve">Fecha antes (o vacío si es nuevo)</t>
  </si>
  <si>
    <t xml:space="preserve">Fecha ahora</t>
  </si>
  <si>
    <t xml:space="preserve">Caption</t>
  </si>
  <si>
    <t xml:space="preserve">Color punto ahora (hex)</t>
  </si>
  <si>
    <t xml:space="preserve">Tasa fija corta</t>
  </si>
  <si>
    <t xml:space="preserve">2026-11-01</t>
  </si>
  <si>
    <t xml:space="preserve">2026-10-16</t>
  </si>
  <si>
    <t xml:space="preserve">antes: nov-26  →  ahora: oct-26</t>
  </si>
  <si>
    <t xml:space="preserve">2026-08-31</t>
  </si>
  <si>
    <t xml:space="preserve">2026-09-30</t>
  </si>
  <si>
    <t xml:space="preserve">antes: ago-26  →  ahora: sep-26</t>
  </si>
  <si>
    <t xml:space="preserve">2027-05-10</t>
  </si>
  <si>
    <t xml:space="preserve">2027-01-15</t>
  </si>
  <si>
    <t xml:space="preserve">antes: may-27  →  ahora: ene-27</t>
  </si>
  <si>
    <t xml:space="preserve">Dual TAMAR/DL (nuevo)</t>
  </si>
  <si>
    <t xml:space="preserve">2028-01-31</t>
  </si>
  <si>
    <t xml:space="preserve">vence ene-28 · sin equivalente antes</t>
  </si>
  <si>
    <t xml:space="preserve">Dual CER/TAMAR</t>
  </si>
  <si>
    <t xml:space="preserve">2028-12-15</t>
  </si>
  <si>
    <t xml:space="preserve">vence dic-28 · reapertura</t>
  </si>
  <si>
    <t xml:space="preserve">2029-10-31</t>
  </si>
  <si>
    <t xml:space="preserve">mismo vto. y tasa · circulación: USD 499M → 976M</t>
  </si>
  <si>
    <t xml:space="preserve">Unidad</t>
  </si>
  <si>
    <t xml:space="preserve">Emisión por compra de dólares del BCRA (2026, YTD ~20/07)</t>
  </si>
  <si>
    <t xml:space="preserve">$ billones</t>
  </si>
  <si>
    <t xml:space="preserve">Absorbido por el Tesoro vía licitaciones (2026, YTD)</t>
  </si>
  <si>
    <t xml:space="preserve">% de lo emitido</t>
  </si>
  <si>
    <t xml:space="preserve">Expansión neta de base monetaria (2026, YTD)</t>
  </si>
  <si>
    <t xml:space="preserve">Variación de base monetaria (2026, YTD)</t>
  </si>
  <si>
    <t xml:space="preserve">%</t>
  </si>
  <si>
    <t xml:space="preserve">Absorción neta de ESTA licitación (28/07)</t>
  </si>
  <si>
    <t xml:space="preserve">Fuente: Infobae (25/07/2026) sobre datos BCRA — reabsorción de pesos emitidos por compra de dólares.</t>
  </si>
  <si>
    <t xml:space="preserve">Texto de fuentes (footer del informe)</t>
  </si>
  <si>
    <t xml:space="preserve">Fuente: comunicados de resultados de licitación de la Secretaría de Finanzas (14/07 y 28/07/2026), BCRA (Boletín Estadístico e Informe Monetario Diario) y cobertura de prensa (Infobae, Perfil, Diario Panorama, Ámbito). Las tasas de instrumentos en pesos y dólar linked se comparan por categoría y plazo similar, no misma especie exacta (excepto BONAR 2029, que es la misma especie reabierta).</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</si>
</sst>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rgb="FFFFFFFF"/>
      <name val="Calibri"/>
      <family val="0"/>
      <charset val="1"/>
    </font>
    <font>
      <i val="true"/>
      <sz val="9"/>
      <color rgb="FF808080"/>
      <name val="Calibri"/>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90"/>
  </cols>
  <sheetData>
    <row r="1" customFormat="false" ht="15" hidden="false" customHeight="false" outlineLevel="0" collapsed="false">
      <c r="A1" s="1" t="s">
        <v>0</v>
      </c>
      <c r="B1" s="2" t="s">
        <v>1</v>
      </c>
    </row>
    <row r="2" customFormat="false" ht="15" hidden="false" customHeight="false" outlineLevel="0" collapsed="false">
      <c r="A2" s="1" t="s">
        <v>2</v>
      </c>
      <c r="B2" s="2" t="s">
        <v>3</v>
      </c>
    </row>
    <row r="3" customFormat="false" ht="15" hidden="false" customHeight="false" outlineLevel="0" collapsed="false">
      <c r="A3" s="1" t="s">
        <v>4</v>
      </c>
      <c r="B3" s="2" t="s">
        <v>5</v>
      </c>
    </row>
    <row r="5" customFormat="false" ht="15" hidden="false" customHeight="false" outlineLevel="0" collapsed="false">
      <c r="A5" s="1" t="s">
        <v>6</v>
      </c>
      <c r="B5" s="2" t="s">
        <v>7</v>
      </c>
    </row>
    <row r="6" customFormat="false" ht="15" hidden="false" customHeight="false" outlineLevel="0" collapsed="false">
      <c r="A6" s="1" t="s">
        <v>8</v>
      </c>
      <c r="B6" s="2" t="s">
        <v>9</v>
      </c>
    </row>
    <row r="7" customFormat="false" ht="15" hidden="false" customHeight="false" outlineLevel="0" collapsed="false">
      <c r="A7" s="1" t="s">
        <v>10</v>
      </c>
      <c r="B7" s="2" t="s">
        <v>11</v>
      </c>
    </row>
    <row r="8" customFormat="false" ht="15" hidden="false" customHeight="false" outlineLevel="0" collapsed="false">
      <c r="A8" s="1" t="s">
        <v>12</v>
      </c>
      <c r="B8"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s>
  <sheetData>
    <row r="1" customFormat="false" ht="15" hidden="false" customHeight="false" outlineLevel="0" collapsed="false">
      <c r="A1" s="3" t="s">
        <v>14</v>
      </c>
      <c r="B1" s="3" t="s">
        <v>15</v>
      </c>
    </row>
    <row r="2" customFormat="false" ht="15" hidden="false" customHeight="false" outlineLevel="0" collapsed="false">
      <c r="A2" s="0" t="s">
        <v>16</v>
      </c>
      <c r="B2" s="0" t="n">
        <v>8.5</v>
      </c>
    </row>
    <row r="3" customFormat="false" ht="15" hidden="false" customHeight="false" outlineLevel="0" collapsed="false">
      <c r="A3" s="0" t="s">
        <v>17</v>
      </c>
      <c r="B3" s="0" t="n">
        <v>12.21</v>
      </c>
    </row>
    <row r="4" customFormat="false" ht="15" hidden="false" customHeight="false" outlineLevel="0" collapsed="false">
      <c r="A4" s="0" t="s">
        <v>18</v>
      </c>
      <c r="B4" s="0" t="n">
        <v>144.5</v>
      </c>
    </row>
    <row r="5" customFormat="false" ht="15" hidden="false" customHeight="false" outlineLevel="0" collapsed="false">
      <c r="A5" s="0" t="s">
        <v>19</v>
      </c>
      <c r="B5" s="0" t="n">
        <v>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18"/>
  </cols>
  <sheetData>
    <row r="1" customFormat="false" ht="15" hidden="false" customHeight="false" outlineLevel="0" collapsed="false">
      <c r="A1" s="3" t="s">
        <v>20</v>
      </c>
      <c r="B1" s="3" t="s">
        <v>21</v>
      </c>
      <c r="C1" s="3" t="s">
        <v>22</v>
      </c>
      <c r="D1" s="3" t="s">
        <v>23</v>
      </c>
    </row>
    <row r="2" customFormat="false" ht="15" hidden="false" customHeight="false" outlineLevel="0" collapsed="false">
      <c r="A2" s="0" t="s">
        <v>24</v>
      </c>
      <c r="B2" s="0" t="n">
        <v>27.57</v>
      </c>
      <c r="C2" s="0" t="n">
        <v>25.59</v>
      </c>
      <c r="D2" s="0" t="s">
        <v>25</v>
      </c>
    </row>
    <row r="3" customFormat="false" ht="15" hidden="false" customHeight="false" outlineLevel="0" collapsed="false">
      <c r="A3" s="0" t="s">
        <v>26</v>
      </c>
      <c r="B3" s="0" t="n">
        <v>7.25</v>
      </c>
      <c r="C3" s="0" t="n">
        <v>7.77</v>
      </c>
      <c r="D3" s="0" t="s">
        <v>27</v>
      </c>
    </row>
    <row r="4" customFormat="false" ht="15" hidden="false" customHeight="false" outlineLevel="0" collapsed="false">
      <c r="A4" s="0" t="s">
        <v>28</v>
      </c>
      <c r="B4" s="0" t="n">
        <v>5.51</v>
      </c>
      <c r="C4" s="0" t="n">
        <v>3.16</v>
      </c>
      <c r="D4" s="0" t="s">
        <v>25</v>
      </c>
    </row>
    <row r="5" customFormat="false" ht="15" hidden="false" customHeight="false" outlineLevel="0" collapsed="false">
      <c r="A5" s="0" t="s">
        <v>29</v>
      </c>
      <c r="B5" s="0" t="n">
        <v>8.33</v>
      </c>
      <c r="C5" s="0" t="n">
        <v>8.29</v>
      </c>
      <c r="D5" s="0"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20"/>
    <col collapsed="false" customWidth="true" hidden="false" outlineLevel="0" max="4" min="4" style="0" width="42"/>
    <col collapsed="false" customWidth="true" hidden="false" outlineLevel="0" max="5" min="5" style="0" width="20"/>
  </cols>
  <sheetData>
    <row r="1" customFormat="false" ht="15" hidden="false" customHeight="false" outlineLevel="0" collapsed="false">
      <c r="A1" s="3" t="s">
        <v>20</v>
      </c>
      <c r="B1" s="3" t="s">
        <v>30</v>
      </c>
      <c r="C1" s="3" t="s">
        <v>31</v>
      </c>
      <c r="D1" s="3" t="s">
        <v>32</v>
      </c>
      <c r="E1" s="3" t="s">
        <v>33</v>
      </c>
    </row>
    <row r="2" customFormat="false" ht="15" hidden="false" customHeight="false" outlineLevel="0" collapsed="false">
      <c r="A2" s="0" t="s">
        <v>34</v>
      </c>
      <c r="B2" s="0" t="s">
        <v>35</v>
      </c>
      <c r="C2" s="0" t="s">
        <v>36</v>
      </c>
      <c r="D2" s="0" t="s">
        <v>37</v>
      </c>
      <c r="E2" s="0" t="s">
        <v>38</v>
      </c>
    </row>
    <row r="3" customFormat="false" ht="15" hidden="false" customHeight="false" outlineLevel="0" collapsed="false">
      <c r="A3" s="0" t="s">
        <v>39</v>
      </c>
      <c r="B3" s="0" t="s">
        <v>40</v>
      </c>
      <c r="C3" s="0" t="s">
        <v>41</v>
      </c>
      <c r="D3" s="0" t="s">
        <v>42</v>
      </c>
      <c r="E3" s="0" t="s">
        <v>43</v>
      </c>
    </row>
    <row r="4" customFormat="false" ht="15" hidden="false" customHeight="false" outlineLevel="0" collapsed="false">
      <c r="A4" s="0" t="s">
        <v>44</v>
      </c>
      <c r="B4" s="0" t="s">
        <v>35</v>
      </c>
      <c r="C4" s="0" t="s">
        <v>45</v>
      </c>
      <c r="D4" s="0" t="s">
        <v>46</v>
      </c>
      <c r="E4" s="0" t="s">
        <v>38</v>
      </c>
    </row>
    <row r="5" customFormat="false" ht="15" hidden="false" customHeight="false" outlineLevel="0" collapsed="false">
      <c r="A5" s="0" t="s">
        <v>47</v>
      </c>
      <c r="B5" s="0" t="s">
        <v>48</v>
      </c>
      <c r="C5" s="0" t="s">
        <v>49</v>
      </c>
      <c r="D5" s="0" t="s">
        <v>50</v>
      </c>
      <c r="E5" s="0"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4" min="2" style="0" width="16"/>
  </cols>
  <sheetData>
    <row r="1" customFormat="false" ht="15" hidden="false" customHeight="false" outlineLevel="0" collapsed="false">
      <c r="A1" s="3" t="s">
        <v>52</v>
      </c>
      <c r="B1" s="3" t="s">
        <v>53</v>
      </c>
      <c r="C1" s="3" t="s">
        <v>54</v>
      </c>
      <c r="D1" s="3" t="s">
        <v>55</v>
      </c>
    </row>
    <row r="2" customFormat="false" ht="15" hidden="false" customHeight="false" outlineLevel="0" collapsed="false">
      <c r="A2" s="0" t="s">
        <v>56</v>
      </c>
      <c r="B2" s="0" t="n">
        <v>4612305</v>
      </c>
      <c r="C2" s="4" t="n">
        <f aca="false">B2/SUM($B$2:$B$6)</f>
        <v>0.364062910204754</v>
      </c>
      <c r="D2" s="2" t="s">
        <v>57</v>
      </c>
    </row>
    <row r="3" customFormat="false" ht="15" hidden="false" customHeight="false" outlineLevel="0" collapsed="false">
      <c r="A3" s="0" t="s">
        <v>58</v>
      </c>
      <c r="B3" s="0" t="n">
        <v>4722120</v>
      </c>
      <c r="C3" s="4" t="n">
        <f aca="false">B3/SUM($B$2:$B$6)</f>
        <v>0.372730933781715</v>
      </c>
      <c r="D3" s="2" t="s">
        <v>59</v>
      </c>
    </row>
    <row r="4" customFormat="false" ht="15" hidden="false" customHeight="false" outlineLevel="0" collapsed="false">
      <c r="A4" s="0" t="s">
        <v>60</v>
      </c>
      <c r="B4" s="0" t="n">
        <v>2003914</v>
      </c>
      <c r="C4" s="4" t="n">
        <f aca="false">B4/SUM($B$2:$B$6)</f>
        <v>0.158174874090081</v>
      </c>
      <c r="D4" s="2" t="s">
        <v>61</v>
      </c>
    </row>
    <row r="5" customFormat="false" ht="15" hidden="false" customHeight="false" outlineLevel="0" collapsed="false">
      <c r="A5" s="0" t="s">
        <v>62</v>
      </c>
      <c r="B5" s="0" t="n">
        <v>867189</v>
      </c>
      <c r="C5" s="4" t="n">
        <f aca="false">B5/SUM($B$2:$B$6)</f>
        <v>0.0684497991866432</v>
      </c>
      <c r="D5" s="2" t="s">
        <v>63</v>
      </c>
    </row>
    <row r="6" customFormat="false" ht="15" hidden="false" customHeight="false" outlineLevel="0" collapsed="false">
      <c r="A6" s="0" t="s">
        <v>64</v>
      </c>
      <c r="B6" s="0" t="n">
        <v>463450</v>
      </c>
      <c r="C6" s="4" t="n">
        <f aca="false">B6/SUM($B$2:$B$6)</f>
        <v>0.036581482736808</v>
      </c>
      <c r="D6" s="2" t="s">
        <v>65</v>
      </c>
    </row>
    <row r="7" customFormat="false" ht="15" hidden="false" customHeight="false" outlineLevel="0" collapsed="false">
      <c r="A7" s="1" t="s">
        <v>66</v>
      </c>
      <c r="B7" s="1" t="n">
        <f aca="false">SUM(B2:B6)</f>
        <v>12668978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20"/>
    <col collapsed="false" customWidth="true" hidden="false" outlineLevel="0" max="4" min="4" style="0" width="46"/>
    <col collapsed="false" customWidth="true" hidden="false" outlineLevel="0" max="5" min="5" style="0" width="18"/>
  </cols>
  <sheetData>
    <row r="1" customFormat="false" ht="15" hidden="false" customHeight="false" outlineLevel="0" collapsed="false">
      <c r="A1" s="3" t="s">
        <v>20</v>
      </c>
      <c r="B1" s="3" t="s">
        <v>67</v>
      </c>
      <c r="C1" s="3" t="s">
        <v>68</v>
      </c>
      <c r="D1" s="3" t="s">
        <v>69</v>
      </c>
      <c r="E1" s="3" t="s">
        <v>70</v>
      </c>
    </row>
    <row r="2" customFormat="false" ht="15" hidden="false" customHeight="false" outlineLevel="0" collapsed="false">
      <c r="A2" s="0" t="s">
        <v>71</v>
      </c>
      <c r="B2" s="0" t="s">
        <v>72</v>
      </c>
      <c r="C2" s="0" t="s">
        <v>73</v>
      </c>
      <c r="D2" s="0" t="s">
        <v>74</v>
      </c>
      <c r="E2" s="0" t="s">
        <v>63</v>
      </c>
    </row>
    <row r="3" customFormat="false" ht="15" hidden="false" customHeight="false" outlineLevel="0" collapsed="false">
      <c r="A3" s="0" t="s">
        <v>39</v>
      </c>
      <c r="B3" s="0" t="s">
        <v>75</v>
      </c>
      <c r="C3" s="0" t="s">
        <v>76</v>
      </c>
      <c r="D3" s="0" t="s">
        <v>77</v>
      </c>
      <c r="E3" s="0" t="s">
        <v>61</v>
      </c>
    </row>
    <row r="4" customFormat="false" ht="15" hidden="false" customHeight="false" outlineLevel="0" collapsed="false">
      <c r="A4" s="0" t="s">
        <v>44</v>
      </c>
      <c r="B4" s="0" t="s">
        <v>78</v>
      </c>
      <c r="C4" s="0" t="s">
        <v>79</v>
      </c>
      <c r="D4" s="0" t="s">
        <v>80</v>
      </c>
      <c r="E4" s="0" t="s">
        <v>63</v>
      </c>
    </row>
    <row r="5" customFormat="false" ht="15" hidden="false" customHeight="false" outlineLevel="0" collapsed="false">
      <c r="A5" s="0" t="s">
        <v>81</v>
      </c>
      <c r="C5" s="0" t="s">
        <v>82</v>
      </c>
      <c r="D5" s="0" t="s">
        <v>83</v>
      </c>
      <c r="E5" s="0" t="s">
        <v>59</v>
      </c>
    </row>
    <row r="6" customFormat="false" ht="15" hidden="false" customHeight="false" outlineLevel="0" collapsed="false">
      <c r="A6" s="0" t="s">
        <v>84</v>
      </c>
      <c r="C6" s="0" t="s">
        <v>85</v>
      </c>
      <c r="D6" s="0" t="s">
        <v>86</v>
      </c>
      <c r="E6" s="0" t="s">
        <v>59</v>
      </c>
    </row>
    <row r="7" customFormat="false" ht="15" hidden="false" customHeight="false" outlineLevel="0" collapsed="false">
      <c r="A7" s="0" t="s">
        <v>47</v>
      </c>
      <c r="B7" s="0" t="s">
        <v>87</v>
      </c>
      <c r="C7" s="0" t="s">
        <v>87</v>
      </c>
      <c r="D7" s="0" t="s">
        <v>88</v>
      </c>
      <c r="E7" s="0"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12"/>
    <col collapsed="false" customWidth="true" hidden="false" outlineLevel="0" max="3" min="3" style="0" width="18"/>
  </cols>
  <sheetData>
    <row r="1" customFormat="false" ht="15" hidden="false" customHeight="false" outlineLevel="0" collapsed="false">
      <c r="A1" s="3" t="s">
        <v>14</v>
      </c>
      <c r="B1" s="3" t="s">
        <v>15</v>
      </c>
      <c r="C1" s="3" t="s">
        <v>89</v>
      </c>
    </row>
    <row r="2" customFormat="false" ht="15" hidden="false" customHeight="false" outlineLevel="0" collapsed="false">
      <c r="A2" s="0" t="s">
        <v>90</v>
      </c>
      <c r="B2" s="0" t="n">
        <v>17.9</v>
      </c>
      <c r="C2" s="0" t="s">
        <v>91</v>
      </c>
    </row>
    <row r="3" customFormat="false" ht="15" hidden="false" customHeight="false" outlineLevel="0" collapsed="false">
      <c r="A3" s="0" t="s">
        <v>92</v>
      </c>
      <c r="B3" s="0" t="n">
        <v>85</v>
      </c>
      <c r="C3" s="0" t="s">
        <v>93</v>
      </c>
    </row>
    <row r="4" customFormat="false" ht="15" hidden="false" customHeight="false" outlineLevel="0" collapsed="false">
      <c r="A4" s="0" t="s">
        <v>94</v>
      </c>
      <c r="B4" s="0" t="n">
        <v>2.7</v>
      </c>
      <c r="C4" s="0" t="s">
        <v>91</v>
      </c>
    </row>
    <row r="5" customFormat="false" ht="15" hidden="false" customHeight="false" outlineLevel="0" collapsed="false">
      <c r="A5" s="0" t="s">
        <v>95</v>
      </c>
      <c r="B5" s="0" t="n">
        <v>6.2</v>
      </c>
      <c r="C5" s="0" t="s">
        <v>96</v>
      </c>
    </row>
    <row r="6" customFormat="false" ht="15" hidden="false" customHeight="false" outlineLevel="0" collapsed="false">
      <c r="A6" s="0" t="s">
        <v>97</v>
      </c>
      <c r="B6" s="0" t="n">
        <v>3.71</v>
      </c>
      <c r="C6" s="0" t="s">
        <v>91</v>
      </c>
    </row>
    <row r="8" customFormat="false" ht="15" hidden="false" customHeight="false" outlineLevel="0" collapsed="false">
      <c r="A8" s="5"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99</v>
      </c>
    </row>
    <row r="2" customFormat="false" ht="60" hidden="false" customHeight="true" outlineLevel="0" collapsed="false">
      <c r="A2" s="6"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2026-07-30T01:17:42Z</dcterms:created>
  <dc:creator>openpyxl</dc:creator>
  <dc:description/>
  <dc:language>en-US</dc:language>
  <cp:lastModifiedBy/>
  <dcterms:modified xsi:type="dcterms:W3CDTF">2026-07-30T01:17:42Z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